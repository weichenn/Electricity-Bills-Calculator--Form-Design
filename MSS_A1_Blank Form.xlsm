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iChen bckup\Disk D\TARUC\RMM Management Mathematics With Computing Bachelor Degree\Y3Sem 1\MSS\Assignment 1\"/>
    </mc:Choice>
  </mc:AlternateContent>
  <xr:revisionPtr revIDLastSave="0" documentId="13_ncr:1_{8F4E30CB-06D2-4236-A436-33EABAF18ABA}" xr6:coauthVersionLast="47" xr6:coauthVersionMax="47" xr10:uidLastSave="{00000000-0000-0000-0000-000000000000}"/>
  <bookViews>
    <workbookView xWindow="-110" yWindow="-110" windowWidth="19420" windowHeight="10420" xr2:uid="{D3515F0D-4EBD-483D-99AC-F0DC4B04B61C}"/>
  </bookViews>
  <sheets>
    <sheet name="Blank Form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3" l="1"/>
  <c r="E23" i="3" s="1"/>
  <c r="J23" i="3" s="1"/>
  <c r="J22" i="3" l="1"/>
  <c r="E24" i="3"/>
  <c r="J24" i="3" s="1"/>
  <c r="H32" i="3" l="1"/>
  <c r="H34" i="3" s="1"/>
  <c r="E25" i="3"/>
  <c r="H33" i="3"/>
  <c r="H35" i="3" l="1"/>
  <c r="J25" i="3"/>
  <c r="E26" i="3"/>
  <c r="J26" i="3" s="1"/>
  <c r="J33" i="3" l="1"/>
  <c r="J28" i="3"/>
  <c r="F9" i="3" s="1"/>
  <c r="J32" i="3"/>
  <c r="H41" i="3"/>
  <c r="E28" i="3"/>
  <c r="K33" i="3" l="1"/>
  <c r="J34" i="3"/>
  <c r="K34" i="3" s="1"/>
  <c r="K32" i="3"/>
  <c r="J35" i="3" l="1"/>
  <c r="K35" i="3" s="1"/>
  <c r="K41" i="3" s="1"/>
  <c r="K43" i="3" l="1"/>
  <c r="J41" i="3"/>
  <c r="K42" i="3" s="1"/>
  <c r="F13" i="3" s="1"/>
  <c r="K47" i="3" l="1"/>
  <c r="I11" i="3" s="1"/>
</calcChain>
</file>

<file path=xl/sharedStrings.xml><?xml version="1.0" encoding="utf-8"?>
<sst xmlns="http://schemas.openxmlformats.org/spreadsheetml/2006/main" count="50" uniqueCount="39">
  <si>
    <t>Total Monthly Consumption (kWh):</t>
  </si>
  <si>
    <t>RM</t>
  </si>
  <si>
    <t>kWh</t>
  </si>
  <si>
    <t>Service Tax (6%)</t>
  </si>
  <si>
    <t>Pelarasan KWTBB (Jul 2021)</t>
  </si>
  <si>
    <t>KWTBB (1.6%)</t>
  </si>
  <si>
    <t>Diskaun PERMULIH (Tarif A: Kediaman)</t>
  </si>
  <si>
    <t>bermula 1 Julai 2021</t>
  </si>
  <si>
    <r>
      <t xml:space="preserve">4. Untuk maklumat lanjut, sila layari </t>
    </r>
    <r>
      <rPr>
        <b/>
        <u/>
        <sz val="11"/>
        <color theme="1"/>
        <rFont val="Times New Roman"/>
        <family val="1"/>
      </rPr>
      <t>www.tnb.com.my/mco/permulih</t>
    </r>
  </si>
  <si>
    <r>
      <t xml:space="preserve">3. Bagi bil bulan Julai 2021, bilangan hari layak diskaun PERMULIH adalah </t>
    </r>
    <r>
      <rPr>
        <b/>
        <sz val="11"/>
        <color theme="1"/>
        <rFont val="Times New Roman"/>
        <family val="1"/>
      </rPr>
      <t xml:space="preserve">11 hari </t>
    </r>
  </si>
  <si>
    <t>Current Bill</t>
  </si>
  <si>
    <t>6% Service Tax</t>
  </si>
  <si>
    <t>penggunaan 201-300kWh</t>
  </si>
  <si>
    <t>penggunaan 301-600kWh</t>
  </si>
  <si>
    <t>penggunaan 601-900kWh</t>
  </si>
  <si>
    <t>penggunaan 1-200kWh</t>
  </si>
  <si>
    <r>
      <t>2. Pecahan diskaun berdsasarkan</t>
    </r>
    <r>
      <rPr>
        <b/>
        <sz val="11"/>
        <color theme="1"/>
        <rFont val="Times New Roman"/>
        <family val="1"/>
      </rPr>
      <t xml:space="preserve"> jumlah penggunaan elektrik bulanan</t>
    </r>
    <r>
      <rPr>
        <sz val="11"/>
        <color theme="1"/>
        <rFont val="Times New Roman"/>
        <family val="1"/>
      </rPr>
      <t xml:space="preserve"> iaitu diskaun bagi </t>
    </r>
  </si>
  <si>
    <t>1 Jul 2021 - 31 Sep 2021</t>
  </si>
  <si>
    <r>
      <t xml:space="preserve">1. Diskaun PEMULIH berdasarkan </t>
    </r>
    <r>
      <rPr>
        <b/>
        <sz val="11"/>
        <color theme="1"/>
        <rFont val="Times New Roman"/>
        <family val="1"/>
      </rPr>
      <t>jumlah penggunaan elektrik bulanan</t>
    </r>
    <r>
      <rPr>
        <sz val="11"/>
        <color theme="1"/>
        <rFont val="Times New Roman"/>
        <family val="1"/>
      </rPr>
      <t xml:space="preserve">  bermula </t>
    </r>
  </si>
  <si>
    <r>
      <rPr>
        <b/>
        <sz val="11"/>
        <color theme="1"/>
        <rFont val="Times New Roman"/>
        <family val="1"/>
      </rPr>
      <t>ICPT Rebate</t>
    </r>
    <r>
      <rPr>
        <sz val="11"/>
        <color theme="1"/>
        <rFont val="Times New Roman"/>
        <family val="1"/>
      </rPr>
      <t xml:space="preserve"> of RM0.02/kWh is given for monthly kWh consumption for a period of 6 months</t>
    </r>
  </si>
  <si>
    <t>(1 Jul - 31 Dec 2021)</t>
  </si>
  <si>
    <t>Prorate factor</t>
  </si>
  <si>
    <t>Tariff Block (kWh)</t>
  </si>
  <si>
    <t>Prorated Block (kWh)</t>
  </si>
  <si>
    <t>Rate (RM)</t>
  </si>
  <si>
    <t>Amount (RM)</t>
  </si>
  <si>
    <t>Total Amount</t>
  </si>
  <si>
    <t>Description</t>
  </si>
  <si>
    <t>ST not applicable</t>
  </si>
  <si>
    <t>ST Applicable</t>
  </si>
  <si>
    <t>Uses of kWh</t>
  </si>
  <si>
    <t>Uses</t>
  </si>
  <si>
    <t>ICPT Rebate (RM0.02/kWh）</t>
  </si>
  <si>
    <t>Current Month Usage</t>
  </si>
  <si>
    <t>RECOVERY DISCOUNT</t>
  </si>
  <si>
    <t>Estimated Bill</t>
  </si>
  <si>
    <t>Your Total Bill Inclusive of Service Tax and ICPT, is</t>
  </si>
  <si>
    <t>Please fill in the Monthly Consumption Amount</t>
  </si>
  <si>
    <t>Details of Bill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</si>
</sst>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theme="0"/>
      <name val="Times New Roman"/>
      <family val="1"/>
    </font>
    <font>
      <sz val="11"/>
      <color theme="4"/>
      <name val="Times New Roman"/>
      <family val="1"/>
    </font>
    <font>
      <sz val="10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b/>
      <sz val="18"/>
      <color theme="0"/>
      <name val="Times New Roman"/>
      <family val="1"/>
    </font>
    <font>
      <sz val="12"/>
      <color theme="1"/>
      <name val="Times New Roman"/>
      <family val="1"/>
    </font>
    <font>
      <b/>
      <sz val="16"/>
      <color theme="4" tint="-0.249977111117893"/>
      <name val="Times New Roman"/>
      <family val="1"/>
    </font>
    <font>
      <u/>
      <sz val="11"/>
      <color theme="1"/>
      <name val="Times New Roman"/>
      <family val="1"/>
    </font>
    <font>
      <b/>
      <sz val="12"/>
      <color theme="4" tint="-0.249977111117893"/>
      <name val="Times New Roman"/>
      <family val="1"/>
    </font>
    <font>
      <b/>
      <sz val="10"/>
      <color theme="4" tint="-0.249977111117893"/>
      <name val="Times New Roman"/>
      <family val="1"/>
    </font>
    <font>
      <sz val="11"/>
      <color rgb="FFFF0000"/>
      <name val="Times New Roman"/>
      <family val="1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Fill="1"/>
    <xf numFmtId="0" fontId="1" fillId="0" borderId="2" xfId="0" applyFont="1" applyBorder="1"/>
    <xf numFmtId="0" fontId="1" fillId="0" borderId="0" xfId="0" applyFont="1" applyBorder="1"/>
    <xf numFmtId="0" fontId="2" fillId="2" borderId="0" xfId="0" applyFont="1" applyFill="1" applyBorder="1" applyAlignment="1"/>
    <xf numFmtId="0" fontId="1" fillId="7" borderId="1" xfId="0" applyFont="1" applyFill="1" applyBorder="1" applyAlignment="1"/>
    <xf numFmtId="0" fontId="1" fillId="8" borderId="2" xfId="0" applyFont="1" applyFill="1" applyBorder="1" applyAlignment="1"/>
    <xf numFmtId="0" fontId="2" fillId="0" borderId="0" xfId="0" applyFont="1" applyFill="1" applyBorder="1"/>
    <xf numFmtId="0" fontId="2" fillId="2" borderId="10" xfId="0" applyFont="1" applyFill="1" applyBorder="1" applyAlignment="1"/>
    <xf numFmtId="0" fontId="2" fillId="2" borderId="3" xfId="0" applyFont="1" applyFill="1" applyBorder="1" applyAlignment="1"/>
    <xf numFmtId="0" fontId="2" fillId="2" borderId="11" xfId="0" applyFont="1" applyFill="1" applyBorder="1" applyAlignment="1"/>
    <xf numFmtId="0" fontId="2" fillId="2" borderId="12" xfId="0" applyFont="1" applyFill="1" applyBorder="1" applyAlignment="1"/>
    <xf numFmtId="0" fontId="2" fillId="2" borderId="13" xfId="0" applyFont="1" applyFill="1" applyBorder="1" applyAlignment="1"/>
    <xf numFmtId="0" fontId="1" fillId="0" borderId="0" xfId="0" applyFont="1" applyBorder="1" applyAlignment="1"/>
    <xf numFmtId="0" fontId="1" fillId="8" borderId="7" xfId="0" applyFont="1" applyFill="1" applyBorder="1" applyAlignment="1"/>
    <xf numFmtId="0" fontId="1" fillId="8" borderId="8" xfId="0" applyFont="1" applyFill="1" applyBorder="1" applyAlignment="1"/>
    <xf numFmtId="0" fontId="1" fillId="8" borderId="14" xfId="0" applyFont="1" applyFill="1" applyBorder="1" applyAlignment="1"/>
    <xf numFmtId="0" fontId="1" fillId="7" borderId="15" xfId="0" applyFont="1" applyFill="1" applyBorder="1" applyAlignment="1"/>
    <xf numFmtId="0" fontId="1" fillId="7" borderId="11" xfId="0" applyFont="1" applyFill="1" applyBorder="1" applyAlignment="1"/>
    <xf numFmtId="0" fontId="1" fillId="7" borderId="12" xfId="0" applyFont="1" applyFill="1" applyBorder="1" applyAlignment="1"/>
    <xf numFmtId="0" fontId="6" fillId="0" borderId="0" xfId="0" applyFont="1" applyFill="1" applyBorder="1" applyAlignment="1">
      <alignment vertical="center"/>
    </xf>
    <xf numFmtId="0" fontId="1" fillId="9" borderId="0" xfId="0" applyFont="1" applyFill="1"/>
    <xf numFmtId="0" fontId="1" fillId="9" borderId="7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NumberFormat="1" applyFont="1" applyFill="1" applyBorder="1" applyAlignment="1">
      <alignment horizontal="right"/>
    </xf>
    <xf numFmtId="0" fontId="1" fillId="9" borderId="0" xfId="0" applyFont="1" applyFill="1" applyBorder="1"/>
    <xf numFmtId="0" fontId="1" fillId="9" borderId="3" xfId="0" applyFont="1" applyFill="1" applyBorder="1"/>
    <xf numFmtId="0" fontId="1" fillId="9" borderId="10" xfId="0" applyFont="1" applyFill="1" applyBorder="1"/>
    <xf numFmtId="0" fontId="1" fillId="9" borderId="0" xfId="0" applyFont="1" applyFill="1" applyBorder="1" applyAlignment="1">
      <alignment horizontal="left"/>
    </xf>
    <xf numFmtId="9" fontId="1" fillId="9" borderId="0" xfId="0" applyNumberFormat="1" applyFont="1" applyFill="1" applyBorder="1"/>
    <xf numFmtId="0" fontId="6" fillId="9" borderId="11" xfId="0" applyFont="1" applyFill="1" applyBorder="1" applyAlignment="1">
      <alignment vertical="center"/>
    </xf>
    <xf numFmtId="0" fontId="1" fillId="9" borderId="12" xfId="0" applyFont="1" applyFill="1" applyBorder="1"/>
    <xf numFmtId="0" fontId="6" fillId="9" borderId="12" xfId="0" applyFont="1" applyFill="1" applyBorder="1" applyAlignment="1">
      <alignment vertical="center"/>
    </xf>
    <xf numFmtId="0" fontId="6" fillId="9" borderId="13" xfId="0" applyFont="1" applyFill="1" applyBorder="1" applyAlignment="1">
      <alignment vertical="center"/>
    </xf>
    <xf numFmtId="0" fontId="1" fillId="5" borderId="0" xfId="0" applyFont="1" applyFill="1" applyBorder="1"/>
    <xf numFmtId="0" fontId="15" fillId="9" borderId="7" xfId="0" applyFont="1" applyFill="1" applyBorder="1"/>
    <xf numFmtId="0" fontId="15" fillId="9" borderId="11" xfId="0" applyFont="1" applyFill="1" applyBorder="1"/>
    <xf numFmtId="0" fontId="15" fillId="9" borderId="9" xfId="0" applyFont="1" applyFill="1" applyBorder="1"/>
    <xf numFmtId="0" fontId="15" fillId="9" borderId="13" xfId="0" applyFont="1" applyFill="1" applyBorder="1"/>
    <xf numFmtId="0" fontId="1" fillId="4" borderId="7" xfId="0" applyFont="1" applyFill="1" applyBorder="1"/>
    <xf numFmtId="0" fontId="4" fillId="4" borderId="8" xfId="0" applyFont="1" applyFill="1" applyBorder="1"/>
    <xf numFmtId="0" fontId="1" fillId="4" borderId="8" xfId="0" applyFont="1" applyFill="1" applyBorder="1"/>
    <xf numFmtId="0" fontId="1" fillId="4" borderId="9" xfId="0" applyFont="1" applyFill="1" applyBorder="1"/>
    <xf numFmtId="0" fontId="1" fillId="4" borderId="11" xfId="0" applyFont="1" applyFill="1" applyBorder="1"/>
    <xf numFmtId="0" fontId="4" fillId="4" borderId="12" xfId="0" applyFont="1" applyFill="1" applyBorder="1"/>
    <xf numFmtId="0" fontId="1" fillId="4" borderId="12" xfId="0" applyFont="1" applyFill="1" applyBorder="1"/>
    <xf numFmtId="0" fontId="1" fillId="4" borderId="13" xfId="0" applyFont="1" applyFill="1" applyBorder="1"/>
    <xf numFmtId="0" fontId="4" fillId="5" borderId="0" xfId="0" applyFont="1" applyFill="1" applyBorder="1" applyAlignment="1">
      <alignment horizontal="right"/>
    </xf>
    <xf numFmtId="0" fontId="7" fillId="4" borderId="0" xfId="0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1" fillId="4" borderId="0" xfId="0" applyFont="1" applyFill="1" applyBorder="1"/>
    <xf numFmtId="2" fontId="1" fillId="5" borderId="3" xfId="0" applyNumberFormat="1" applyFont="1" applyFill="1" applyBorder="1" applyAlignment="1">
      <alignment horizontal="right"/>
    </xf>
    <xf numFmtId="0" fontId="1" fillId="4" borderId="10" xfId="0" applyFont="1" applyFill="1" applyBorder="1"/>
    <xf numFmtId="0" fontId="1" fillId="4" borderId="3" xfId="0" applyFont="1" applyFill="1" applyBorder="1"/>
    <xf numFmtId="0" fontId="1" fillId="5" borderId="10" xfId="0" applyFont="1" applyFill="1" applyBorder="1"/>
    <xf numFmtId="0" fontId="1" fillId="5" borderId="3" xfId="0" applyFont="1" applyFill="1" applyBorder="1"/>
    <xf numFmtId="2" fontId="1" fillId="5" borderId="20" xfId="0" applyNumberFormat="1" applyFont="1" applyFill="1" applyBorder="1"/>
    <xf numFmtId="2" fontId="1" fillId="4" borderId="20" xfId="0" applyNumberFormat="1" applyFont="1" applyFill="1" applyBorder="1"/>
    <xf numFmtId="0" fontId="1" fillId="4" borderId="20" xfId="0" applyFont="1" applyFill="1" applyBorder="1"/>
    <xf numFmtId="0" fontId="1" fillId="5" borderId="20" xfId="0" applyFont="1" applyFill="1" applyBorder="1"/>
    <xf numFmtId="0" fontId="1" fillId="4" borderId="19" xfId="0" applyFont="1" applyFill="1" applyBorder="1"/>
    <xf numFmtId="2" fontId="1" fillId="5" borderId="10" xfId="0" applyNumberFormat="1" applyFont="1" applyFill="1" applyBorder="1"/>
    <xf numFmtId="2" fontId="1" fillId="4" borderId="10" xfId="0" applyNumberFormat="1" applyFont="1" applyFill="1" applyBorder="1"/>
    <xf numFmtId="2" fontId="1" fillId="4" borderId="3" xfId="0" applyNumberFormat="1" applyFont="1" applyFill="1" applyBorder="1"/>
    <xf numFmtId="2" fontId="1" fillId="5" borderId="3" xfId="0" applyNumberFormat="1" applyFont="1" applyFill="1" applyBorder="1"/>
    <xf numFmtId="0" fontId="1" fillId="4" borderId="6" xfId="0" applyFont="1" applyFill="1" applyBorder="1"/>
    <xf numFmtId="0" fontId="1" fillId="4" borderId="21" xfId="0" applyFont="1" applyFill="1" applyBorder="1"/>
    <xf numFmtId="0" fontId="1" fillId="4" borderId="22" xfId="0" applyFont="1" applyFill="1" applyBorder="1"/>
    <xf numFmtId="0" fontId="4" fillId="4" borderId="23" xfId="0" applyFont="1" applyFill="1" applyBorder="1"/>
    <xf numFmtId="0" fontId="1" fillId="4" borderId="23" xfId="0" applyFont="1" applyFill="1" applyBorder="1"/>
    <xf numFmtId="0" fontId="4" fillId="4" borderId="22" xfId="0" applyFont="1" applyFill="1" applyBorder="1" applyAlignment="1">
      <alignment horizontal="right"/>
    </xf>
    <xf numFmtId="0" fontId="1" fillId="5" borderId="7" xfId="0" applyFont="1" applyFill="1" applyBorder="1"/>
    <xf numFmtId="0" fontId="1" fillId="5" borderId="8" xfId="0" applyFont="1" applyFill="1" applyBorder="1"/>
    <xf numFmtId="0" fontId="1" fillId="5" borderId="9" xfId="0" applyFont="1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5" borderId="13" xfId="0" applyFont="1" applyFill="1" applyBorder="1"/>
    <xf numFmtId="0" fontId="1" fillId="4" borderId="0" xfId="0" applyFont="1" applyFill="1" applyBorder="1" applyAlignment="1">
      <alignment horizontal="right"/>
    </xf>
    <xf numFmtId="0" fontId="1" fillId="5" borderId="0" xfId="0" applyFont="1" applyFill="1" applyBorder="1" applyAlignment="1">
      <alignment horizontal="right"/>
    </xf>
    <xf numFmtId="2" fontId="1" fillId="5" borderId="8" xfId="0" applyNumberFormat="1" applyFont="1" applyFill="1" applyBorder="1"/>
    <xf numFmtId="2" fontId="1" fillId="4" borderId="0" xfId="0" applyNumberFormat="1" applyFont="1" applyFill="1" applyBorder="1"/>
    <xf numFmtId="2" fontId="1" fillId="5" borderId="0" xfId="0" applyNumberFormat="1" applyFont="1" applyFill="1" applyBorder="1"/>
    <xf numFmtId="2" fontId="1" fillId="5" borderId="18" xfId="0" applyNumberFormat="1" applyFont="1" applyFill="1" applyBorder="1"/>
    <xf numFmtId="2" fontId="17" fillId="4" borderId="20" xfId="0" applyNumberFormat="1" applyFont="1" applyFill="1" applyBorder="1"/>
    <xf numFmtId="2" fontId="17" fillId="4" borderId="10" xfId="0" applyNumberFormat="1" applyFont="1" applyFill="1" applyBorder="1"/>
    <xf numFmtId="2" fontId="17" fillId="4" borderId="3" xfId="0" applyNumberFormat="1" applyFont="1" applyFill="1" applyBorder="1"/>
    <xf numFmtId="2" fontId="17" fillId="5" borderId="20" xfId="0" applyNumberFormat="1" applyFont="1" applyFill="1" applyBorder="1"/>
    <xf numFmtId="2" fontId="17" fillId="5" borderId="10" xfId="0" applyNumberFormat="1" applyFont="1" applyFill="1" applyBorder="1" applyAlignment="1"/>
    <xf numFmtId="2" fontId="17" fillId="5" borderId="3" xfId="0" applyNumberFormat="1" applyFont="1" applyFill="1" applyBorder="1"/>
    <xf numFmtId="0" fontId="10" fillId="7" borderId="1" xfId="0" applyFont="1" applyFill="1" applyBorder="1" applyAlignment="1"/>
    <xf numFmtId="0" fontId="10" fillId="7" borderId="5" xfId="0" applyFont="1" applyFill="1" applyBorder="1" applyAlignment="1"/>
    <xf numFmtId="0" fontId="10" fillId="7" borderId="3" xfId="0" applyFont="1" applyFill="1" applyBorder="1" applyAlignment="1"/>
    <xf numFmtId="0" fontId="10" fillId="8" borderId="3" xfId="0" applyFont="1" applyFill="1" applyBorder="1" applyAlignment="1"/>
    <xf numFmtId="0" fontId="1" fillId="0" borderId="12" xfId="0" applyFont="1" applyBorder="1" applyAlignment="1"/>
    <xf numFmtId="0" fontId="1" fillId="3" borderId="8" xfId="0" applyFont="1" applyFill="1" applyBorder="1"/>
    <xf numFmtId="2" fontId="12" fillId="5" borderId="17" xfId="0" applyNumberFormat="1" applyFont="1" applyFill="1" applyBorder="1"/>
    <xf numFmtId="0" fontId="3" fillId="7" borderId="0" xfId="0" applyFont="1" applyFill="1" applyBorder="1" applyAlignment="1"/>
    <xf numFmtId="0" fontId="3" fillId="8" borderId="0" xfId="0" applyFont="1" applyFill="1" applyBorder="1" applyAlignment="1"/>
    <xf numFmtId="0" fontId="1" fillId="9" borderId="0" xfId="0" applyFont="1" applyFill="1" applyAlignment="1"/>
    <xf numFmtId="0" fontId="1" fillId="9" borderId="0" xfId="0" applyFont="1" applyFill="1" applyBorder="1" applyAlignment="1"/>
    <xf numFmtId="0" fontId="2" fillId="9" borderId="0" xfId="0" applyFont="1" applyFill="1" applyBorder="1"/>
    <xf numFmtId="2" fontId="1" fillId="5" borderId="10" xfId="0" applyNumberFormat="1" applyFont="1" applyFill="1" applyBorder="1" applyAlignment="1">
      <alignment horizontal="right"/>
    </xf>
    <xf numFmtId="0" fontId="1" fillId="5" borderId="0" xfId="0" applyFont="1" applyFill="1" applyBorder="1" applyAlignment="1"/>
    <xf numFmtId="0" fontId="4" fillId="5" borderId="0" xfId="0" applyFont="1" applyFill="1" applyBorder="1"/>
    <xf numFmtId="0" fontId="7" fillId="4" borderId="0" xfId="0" applyFont="1" applyFill="1" applyBorder="1"/>
    <xf numFmtId="0" fontId="7" fillId="5" borderId="0" xfId="0" applyFont="1" applyFill="1" applyBorder="1"/>
    <xf numFmtId="0" fontId="3" fillId="2" borderId="0" xfId="0" applyFont="1" applyFill="1" applyBorder="1" applyAlignment="1">
      <alignment horizontal="right" vertical="top"/>
    </xf>
    <xf numFmtId="2" fontId="11" fillId="2" borderId="0" xfId="0" applyNumberFormat="1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right" vertical="top"/>
    </xf>
    <xf numFmtId="0" fontId="3" fillId="7" borderId="12" xfId="0" applyFont="1" applyFill="1" applyBorder="1" applyAlignment="1">
      <alignment horizontal="right" vertical="top"/>
    </xf>
    <xf numFmtId="2" fontId="10" fillId="7" borderId="3" xfId="0" applyNumberFormat="1" applyFont="1" applyFill="1" applyBorder="1" applyAlignment="1">
      <alignment horizontal="left" vertical="top"/>
    </xf>
    <xf numFmtId="2" fontId="10" fillId="7" borderId="13" xfId="0" applyNumberFormat="1" applyFont="1" applyFill="1" applyBorder="1" applyAlignment="1">
      <alignment horizontal="left" vertical="top"/>
    </xf>
    <xf numFmtId="0" fontId="1" fillId="6" borderId="1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3" fillId="8" borderId="0" xfId="0" applyFont="1" applyFill="1" applyBorder="1" applyAlignment="1">
      <alignment horizontal="right" vertical="top"/>
    </xf>
    <xf numFmtId="0" fontId="3" fillId="8" borderId="2" xfId="0" applyFont="1" applyFill="1" applyBorder="1" applyAlignment="1">
      <alignment horizontal="right" vertical="top"/>
    </xf>
    <xf numFmtId="2" fontId="10" fillId="8" borderId="3" xfId="0" applyNumberFormat="1" applyFont="1" applyFill="1" applyBorder="1" applyAlignment="1">
      <alignment horizontal="left" vertical="top"/>
    </xf>
    <xf numFmtId="2" fontId="10" fillId="8" borderId="4" xfId="0" applyNumberFormat="1" applyFont="1" applyFill="1" applyBorder="1" applyAlignment="1">
      <alignment horizontal="left" vertical="top"/>
    </xf>
    <xf numFmtId="0" fontId="13" fillId="9" borderId="7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3" fillId="9" borderId="12" xfId="0" applyFont="1" applyFill="1" applyBorder="1" applyAlignment="1">
      <alignment horizontal="center" vertical="center"/>
    </xf>
    <xf numFmtId="0" fontId="13" fillId="9" borderId="13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165" fontId="1" fillId="4" borderId="11" xfId="0" applyNumberFormat="1" applyFont="1" applyFill="1" applyBorder="1" applyAlignment="1">
      <alignment horizontal="center"/>
    </xf>
    <xf numFmtId="165" fontId="1" fillId="4" borderId="12" xfId="0" applyNumberFormat="1" applyFont="1" applyFill="1" applyBorder="1" applyAlignment="1">
      <alignment horizontal="center"/>
    </xf>
    <xf numFmtId="165" fontId="1" fillId="4" borderId="13" xfId="0" applyNumberFormat="1" applyFont="1" applyFill="1" applyBorder="1" applyAlignment="1">
      <alignment horizontal="center"/>
    </xf>
    <xf numFmtId="0" fontId="4" fillId="5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2" fontId="1" fillId="4" borderId="0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2" fontId="1" fillId="5" borderId="0" xfId="0" applyNumberFormat="1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2" fontId="1" fillId="4" borderId="17" xfId="0" applyNumberFormat="1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9" borderId="0" xfId="0" applyFont="1" applyFill="1" applyBorder="1" applyAlignment="1">
      <alignment horizontal="center"/>
    </xf>
    <xf numFmtId="0" fontId="8" fillId="9" borderId="3" xfId="0" applyFont="1" applyFill="1" applyBorder="1" applyAlignment="1">
      <alignment horizontal="center"/>
    </xf>
    <xf numFmtId="0" fontId="15" fillId="9" borderId="8" xfId="0" applyFont="1" applyFill="1" applyBorder="1" applyAlignment="1">
      <alignment horizontal="center" vertical="center"/>
    </xf>
    <xf numFmtId="0" fontId="15" fillId="9" borderId="12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9" borderId="9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6" fillId="9" borderId="13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 wrapText="1"/>
    </xf>
    <xf numFmtId="0" fontId="16" fillId="9" borderId="19" xfId="0" applyFont="1" applyFill="1" applyBorder="1" applyAlignment="1">
      <alignment horizontal="center" vertical="center" wrapText="1"/>
    </xf>
    <xf numFmtId="0" fontId="16" fillId="9" borderId="8" xfId="0" applyFont="1" applyFill="1" applyBorder="1" applyAlignment="1">
      <alignment horizontal="center" vertical="center" wrapText="1"/>
    </xf>
    <xf numFmtId="0" fontId="16" fillId="9" borderId="9" xfId="0" applyFont="1" applyFill="1" applyBorder="1" applyAlignment="1">
      <alignment horizontal="center" vertical="center" wrapText="1"/>
    </xf>
    <xf numFmtId="0" fontId="16" fillId="9" borderId="12" xfId="0" applyFont="1" applyFill="1" applyBorder="1" applyAlignment="1">
      <alignment horizontal="center" vertical="center" wrapText="1"/>
    </xf>
    <xf numFmtId="0" fontId="16" fillId="9" borderId="13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right"/>
    </xf>
    <xf numFmtId="0" fontId="1" fillId="4" borderId="22" xfId="0" applyFont="1" applyFill="1" applyBorder="1" applyAlignment="1">
      <alignment horizontal="right"/>
    </xf>
    <xf numFmtId="2" fontId="1" fillId="5" borderId="10" xfId="0" applyNumberFormat="1" applyFont="1" applyFill="1" applyBorder="1" applyAlignment="1">
      <alignment horizontal="right"/>
    </xf>
    <xf numFmtId="0" fontId="1" fillId="5" borderId="3" xfId="0" applyFont="1" applyFill="1" applyBorder="1" applyAlignment="1">
      <alignment horizontal="right"/>
    </xf>
    <xf numFmtId="2" fontId="17" fillId="4" borderId="10" xfId="0" applyNumberFormat="1" applyFont="1" applyFill="1" applyBorder="1" applyAlignment="1">
      <alignment horizontal="right"/>
    </xf>
    <xf numFmtId="2" fontId="17" fillId="4" borderId="3" xfId="0" applyNumberFormat="1" applyFont="1" applyFill="1" applyBorder="1" applyAlignment="1">
      <alignment horizontal="right"/>
    </xf>
    <xf numFmtId="2" fontId="17" fillId="5" borderId="10" xfId="0" applyNumberFormat="1" applyFont="1" applyFill="1" applyBorder="1" applyAlignment="1">
      <alignment horizontal="right"/>
    </xf>
    <xf numFmtId="2" fontId="17" fillId="5" borderId="3" xfId="0" applyNumberFormat="1" applyFont="1" applyFill="1" applyBorder="1" applyAlignment="1">
      <alignment horizontal="right"/>
    </xf>
    <xf numFmtId="2" fontId="1" fillId="4" borderId="10" xfId="0" applyNumberFormat="1" applyFont="1" applyFill="1" applyBorder="1" applyAlignment="1">
      <alignment horizontal="right"/>
    </xf>
    <xf numFmtId="2" fontId="1" fillId="4" borderId="3" xfId="0" applyNumberFormat="1" applyFont="1" applyFill="1" applyBorder="1" applyAlignment="1">
      <alignment horizontal="right"/>
    </xf>
    <xf numFmtId="2" fontId="1" fillId="5" borderId="7" xfId="0" applyNumberFormat="1" applyFont="1" applyFill="1" applyBorder="1" applyAlignment="1">
      <alignment horizontal="right"/>
    </xf>
    <xf numFmtId="2" fontId="1" fillId="5" borderId="9" xfId="0" applyNumberFormat="1" applyFont="1" applyFill="1" applyBorder="1" applyAlignment="1">
      <alignment horizontal="right"/>
    </xf>
    <xf numFmtId="0" fontId="5" fillId="9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5E5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447675</xdr:colOff>
      <xdr:row>11</xdr:row>
      <xdr:rowOff>171450</xdr:rowOff>
    </xdr:from>
    <xdr:to>
      <xdr:col>10</xdr:col>
      <xdr:colOff>607886</xdr:colOff>
      <xdr:row>13</xdr:row>
      <xdr:rowOff>142875</xdr:rowOff>
    </xdr:to>
    <xdr:pic>
      <xdr:nvPicPr>
        <xdr:cNvPr id="2" name="Picture 1" descr="Digital TNB: Big task ahead for Tenaga Nasional&amp;#39;s IT | Enterprise IT New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02275" y="2162175"/>
          <a:ext cx="80156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152400</xdr:rowOff>
        </xdr:from>
        <xdr:to>
          <xdr:col>10</xdr:col>
          <xdr:colOff>412750</xdr:colOff>
          <xdr:row>4</xdr:row>
          <xdr:rowOff>44450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4E1AE-C27B-48FD-B481-E21F4A9B645F}">
  <sheetPr codeName="Sheet1"/>
  <dimension ref="B2:M79"/>
  <sheetViews>
    <sheetView tabSelected="1" zoomScaleNormal="100" workbookViewId="0">
      <selection activeCell="F5" sqref="F5"/>
    </sheetView>
  </sheetViews>
  <sheetFormatPr defaultColWidth="9.1796875" defaultRowHeight="14" x14ac:dyDescent="0.3"/>
  <cols>
    <col min="1" max="2" width="2.7265625" style="1" customWidth="1"/>
    <col min="3" max="3" width="11.81640625" style="1" customWidth="1"/>
    <col min="4" max="5" width="9.1796875" style="1"/>
    <col min="6" max="6" width="9.453125" style="1" bestFit="1" customWidth="1"/>
    <col min="7" max="11" width="9.1796875" style="1"/>
    <col min="12" max="13" width="2.7265625" style="1" customWidth="1"/>
    <col min="14" max="16384" width="9.1796875" style="1"/>
  </cols>
  <sheetData>
    <row r="2" spans="2:11" x14ac:dyDescent="0.3">
      <c r="C2" s="1" t="s">
        <v>37</v>
      </c>
    </row>
    <row r="3" spans="2:11" x14ac:dyDescent="0.3">
      <c r="C3" s="23"/>
      <c r="D3" s="23"/>
      <c r="E3" s="23"/>
      <c r="F3" s="23"/>
      <c r="G3" s="23"/>
      <c r="H3" s="23"/>
      <c r="I3" s="23"/>
      <c r="J3" s="23"/>
      <c r="K3" s="23"/>
    </row>
    <row r="4" spans="2:11" ht="14.5" thickBot="1" x14ac:dyDescent="0.35">
      <c r="C4" s="101" t="s">
        <v>0</v>
      </c>
      <c r="D4" s="101"/>
      <c r="E4" s="101"/>
      <c r="F4" s="118">
        <v>0</v>
      </c>
      <c r="G4" s="118"/>
      <c r="H4" s="118"/>
      <c r="I4" s="118"/>
      <c r="J4" s="23"/>
      <c r="K4" s="23"/>
    </row>
    <row r="5" spans="2:11" x14ac:dyDescent="0.3">
      <c r="C5" s="102"/>
      <c r="D5" s="102"/>
      <c r="E5" s="102"/>
      <c r="F5" s="102"/>
      <c r="G5" s="103"/>
      <c r="H5" s="28"/>
      <c r="I5" s="28"/>
      <c r="J5" s="28"/>
      <c r="K5" s="28"/>
    </row>
    <row r="6" spans="2:11" ht="14.5" thickBot="1" x14ac:dyDescent="0.35">
      <c r="C6" s="15"/>
      <c r="D6" s="15"/>
      <c r="E6" s="15"/>
      <c r="F6" s="96"/>
      <c r="G6" s="9"/>
      <c r="H6" s="5"/>
      <c r="I6" s="5"/>
      <c r="J6" s="5"/>
      <c r="K6" s="5"/>
    </row>
    <row r="7" spans="2:11" ht="14" customHeight="1" x14ac:dyDescent="0.4">
      <c r="B7" s="5"/>
      <c r="C7" s="16"/>
      <c r="D7" s="17"/>
      <c r="E7" s="97"/>
      <c r="F7" s="95"/>
      <c r="G7" s="119" t="s">
        <v>36</v>
      </c>
      <c r="H7" s="120"/>
      <c r="I7" s="120"/>
      <c r="J7" s="120"/>
      <c r="K7" s="121"/>
    </row>
    <row r="8" spans="2:11" ht="14" customHeight="1" x14ac:dyDescent="0.4">
      <c r="B8" s="5"/>
      <c r="C8" s="125" t="s">
        <v>35</v>
      </c>
      <c r="D8" s="126"/>
      <c r="E8" s="100"/>
      <c r="F8" s="95"/>
      <c r="G8" s="122"/>
      <c r="H8" s="123"/>
      <c r="I8" s="123"/>
      <c r="J8" s="123"/>
      <c r="K8" s="124"/>
    </row>
    <row r="9" spans="2:11" ht="14" customHeight="1" x14ac:dyDescent="0.3">
      <c r="B9" s="5"/>
      <c r="C9" s="125"/>
      <c r="D9" s="126"/>
      <c r="E9" s="127" t="s">
        <v>1</v>
      </c>
      <c r="F9" s="129">
        <f>J28</f>
        <v>0</v>
      </c>
      <c r="G9" s="122"/>
      <c r="H9" s="123"/>
      <c r="I9" s="123"/>
      <c r="J9" s="123"/>
      <c r="K9" s="124"/>
    </row>
    <row r="10" spans="2:11" ht="14" customHeight="1" x14ac:dyDescent="0.3">
      <c r="B10" s="5"/>
      <c r="C10" s="18"/>
      <c r="D10" s="8"/>
      <c r="E10" s="128"/>
      <c r="F10" s="130"/>
      <c r="G10" s="122"/>
      <c r="H10" s="123"/>
      <c r="I10" s="123"/>
      <c r="J10" s="123"/>
      <c r="K10" s="124"/>
    </row>
    <row r="11" spans="2:11" ht="14" customHeight="1" x14ac:dyDescent="0.4">
      <c r="B11" s="5"/>
      <c r="C11" s="19"/>
      <c r="D11" s="7"/>
      <c r="E11" s="92"/>
      <c r="F11" s="93"/>
      <c r="G11" s="10"/>
      <c r="H11" s="109" t="s">
        <v>1</v>
      </c>
      <c r="I11" s="110">
        <f>K47</f>
        <v>0</v>
      </c>
      <c r="J11" s="111"/>
      <c r="K11" s="11"/>
    </row>
    <row r="12" spans="2:11" ht="14" customHeight="1" x14ac:dyDescent="0.4">
      <c r="B12" s="5"/>
      <c r="C12" s="112" t="s">
        <v>11</v>
      </c>
      <c r="D12" s="113"/>
      <c r="E12" s="99"/>
      <c r="F12" s="94"/>
      <c r="G12" s="10"/>
      <c r="H12" s="109"/>
      <c r="I12" s="111"/>
      <c r="J12" s="111"/>
      <c r="K12" s="11"/>
    </row>
    <row r="13" spans="2:11" ht="14.5" customHeight="1" x14ac:dyDescent="0.3">
      <c r="B13" s="5"/>
      <c r="C13" s="112"/>
      <c r="D13" s="113"/>
      <c r="E13" s="114" t="s">
        <v>1</v>
      </c>
      <c r="F13" s="116">
        <f>K42</f>
        <v>0</v>
      </c>
      <c r="G13" s="10"/>
      <c r="H13" s="6"/>
      <c r="I13" s="6"/>
      <c r="J13" s="6"/>
      <c r="K13" s="11"/>
    </row>
    <row r="14" spans="2:11" ht="15" customHeight="1" thickBot="1" x14ac:dyDescent="0.35">
      <c r="B14" s="5"/>
      <c r="C14" s="20"/>
      <c r="D14" s="21"/>
      <c r="E14" s="115"/>
      <c r="F14" s="117"/>
      <c r="G14" s="12"/>
      <c r="H14" s="13"/>
      <c r="I14" s="13"/>
      <c r="J14" s="13"/>
      <c r="K14" s="14"/>
    </row>
    <row r="15" spans="2:11" x14ac:dyDescent="0.3">
      <c r="C15" s="2"/>
      <c r="D15" s="2"/>
      <c r="E15" s="2"/>
      <c r="F15" s="2"/>
      <c r="G15" s="3"/>
    </row>
    <row r="16" spans="2:11" ht="14.5" thickBot="1" x14ac:dyDescent="0.35">
      <c r="C16" s="15"/>
      <c r="D16" s="2"/>
      <c r="E16" s="2"/>
      <c r="F16" s="2"/>
      <c r="G16" s="3"/>
    </row>
    <row r="17" spans="2:12" x14ac:dyDescent="0.3">
      <c r="B17" s="131" t="s">
        <v>38</v>
      </c>
      <c r="C17" s="132"/>
      <c r="D17" s="132"/>
      <c r="E17" s="132"/>
      <c r="F17" s="132"/>
      <c r="G17" s="132"/>
      <c r="H17" s="132"/>
      <c r="I17" s="132"/>
      <c r="J17" s="132"/>
      <c r="K17" s="132"/>
      <c r="L17" s="133"/>
    </row>
    <row r="18" spans="2:12" ht="14.5" thickBot="1" x14ac:dyDescent="0.35">
      <c r="B18" s="134"/>
      <c r="C18" s="135"/>
      <c r="D18" s="135"/>
      <c r="E18" s="135"/>
      <c r="F18" s="135"/>
      <c r="G18" s="135"/>
      <c r="H18" s="135"/>
      <c r="I18" s="135"/>
      <c r="J18" s="135"/>
      <c r="K18" s="135"/>
      <c r="L18" s="136"/>
    </row>
    <row r="19" spans="2:12" x14ac:dyDescent="0.3">
      <c r="B19" s="42"/>
      <c r="C19" s="43"/>
      <c r="D19" s="44"/>
      <c r="E19" s="44"/>
      <c r="F19" s="44"/>
      <c r="G19" s="44"/>
      <c r="H19" s="45"/>
      <c r="I19" s="137" t="s">
        <v>21</v>
      </c>
      <c r="J19" s="138"/>
      <c r="K19" s="138"/>
      <c r="L19" s="139"/>
    </row>
    <row r="20" spans="2:12" ht="14.5" thickBot="1" x14ac:dyDescent="0.35">
      <c r="B20" s="46"/>
      <c r="C20" s="47"/>
      <c r="D20" s="48"/>
      <c r="E20" s="48"/>
      <c r="F20" s="48"/>
      <c r="G20" s="48"/>
      <c r="H20" s="49"/>
      <c r="I20" s="140">
        <v>1</v>
      </c>
      <c r="J20" s="141"/>
      <c r="K20" s="141"/>
      <c r="L20" s="142"/>
    </row>
    <row r="21" spans="2:12" x14ac:dyDescent="0.3">
      <c r="B21" s="57"/>
      <c r="C21" s="143" t="s">
        <v>22</v>
      </c>
      <c r="D21" s="143"/>
      <c r="E21" s="144" t="s">
        <v>23</v>
      </c>
      <c r="F21" s="144"/>
      <c r="G21" s="144"/>
      <c r="H21" s="144" t="s">
        <v>24</v>
      </c>
      <c r="I21" s="144"/>
      <c r="J21" s="144" t="s">
        <v>25</v>
      </c>
      <c r="K21" s="144"/>
      <c r="L21" s="58"/>
    </row>
    <row r="22" spans="2:12" x14ac:dyDescent="0.3">
      <c r="B22" s="55"/>
      <c r="C22" s="145">
        <v>200</v>
      </c>
      <c r="D22" s="145"/>
      <c r="E22" s="145">
        <f>IF(F4&gt;=C22,200,F4)*I20</f>
        <v>0</v>
      </c>
      <c r="F22" s="145"/>
      <c r="G22" s="145"/>
      <c r="H22" s="146">
        <v>0.218</v>
      </c>
      <c r="I22" s="146"/>
      <c r="J22" s="147">
        <f>H22*E22</f>
        <v>0</v>
      </c>
      <c r="K22" s="147"/>
      <c r="L22" s="56"/>
    </row>
    <row r="23" spans="2:12" x14ac:dyDescent="0.3">
      <c r="B23" s="57"/>
      <c r="C23" s="148">
        <v>100</v>
      </c>
      <c r="D23" s="148"/>
      <c r="E23" s="148">
        <f>IF(F4-E22&gt;=C23,100,F4-E22)*I20</f>
        <v>0</v>
      </c>
      <c r="F23" s="148"/>
      <c r="G23" s="148"/>
      <c r="H23" s="149">
        <v>0.33400000000000002</v>
      </c>
      <c r="I23" s="149"/>
      <c r="J23" s="150">
        <f>H23*E23</f>
        <v>0</v>
      </c>
      <c r="K23" s="150"/>
      <c r="L23" s="58"/>
    </row>
    <row r="24" spans="2:12" x14ac:dyDescent="0.3">
      <c r="B24" s="55"/>
      <c r="C24" s="145">
        <v>300</v>
      </c>
      <c r="D24" s="145"/>
      <c r="E24" s="145">
        <f>IF(F4-E22-E23&gt;=C24,300,F4-E22-E23)*I20</f>
        <v>0</v>
      </c>
      <c r="F24" s="145"/>
      <c r="G24" s="145"/>
      <c r="H24" s="146">
        <v>0.51600000000000001</v>
      </c>
      <c r="I24" s="146"/>
      <c r="J24" s="147">
        <f>H24*E24</f>
        <v>0</v>
      </c>
      <c r="K24" s="147"/>
      <c r="L24" s="56"/>
    </row>
    <row r="25" spans="2:12" x14ac:dyDescent="0.3">
      <c r="B25" s="57"/>
      <c r="C25" s="148">
        <v>300</v>
      </c>
      <c r="D25" s="148"/>
      <c r="E25" s="148">
        <f>IF(F4-E22-E23-E24&gt;=C25,300,F4-E22-E23-E24)*I20</f>
        <v>0</v>
      </c>
      <c r="F25" s="148"/>
      <c r="G25" s="148"/>
      <c r="H25" s="149">
        <v>0.54600000000000004</v>
      </c>
      <c r="I25" s="149"/>
      <c r="J25" s="150">
        <f>H25*E25</f>
        <v>0</v>
      </c>
      <c r="K25" s="150"/>
      <c r="L25" s="58"/>
    </row>
    <row r="26" spans="2:12" x14ac:dyDescent="0.3">
      <c r="B26" s="55"/>
      <c r="C26" s="53"/>
      <c r="D26" s="53"/>
      <c r="E26" s="145">
        <f>IF(F4-E22-E23-E24-E25&gt;=SUM(C22:D25),F4-SUM(C22:D25),F4-SUM(E22:G25))*I20</f>
        <v>0</v>
      </c>
      <c r="F26" s="145"/>
      <c r="G26" s="145"/>
      <c r="H26" s="145">
        <v>0.57099999999999995</v>
      </c>
      <c r="I26" s="145"/>
      <c r="J26" s="147">
        <f>H26*E26</f>
        <v>0</v>
      </c>
      <c r="K26" s="147"/>
      <c r="L26" s="56"/>
    </row>
    <row r="27" spans="2:12" x14ac:dyDescent="0.3">
      <c r="B27" s="57"/>
      <c r="C27" s="105"/>
      <c r="D27" s="105"/>
      <c r="E27" s="148"/>
      <c r="F27" s="148"/>
      <c r="G27" s="148"/>
      <c r="H27" s="37"/>
      <c r="I27" s="37"/>
      <c r="J27" s="37"/>
      <c r="K27" s="37"/>
      <c r="L27" s="58"/>
    </row>
    <row r="28" spans="2:12" ht="14.5" thickBot="1" x14ac:dyDescent="0.35">
      <c r="B28" s="55"/>
      <c r="C28" s="151" t="s">
        <v>26</v>
      </c>
      <c r="D28" s="151"/>
      <c r="E28" s="145">
        <f>SUM(E22:G26)</f>
        <v>0</v>
      </c>
      <c r="F28" s="145"/>
      <c r="G28" s="145"/>
      <c r="H28" s="53"/>
      <c r="I28" s="53"/>
      <c r="J28" s="152">
        <f>SUM(J22:J26)</f>
        <v>0</v>
      </c>
      <c r="K28" s="152"/>
      <c r="L28" s="56"/>
    </row>
    <row r="29" spans="2:12" ht="15" thickTop="1" thickBot="1" x14ac:dyDescent="0.35">
      <c r="B29" s="57"/>
      <c r="C29" s="37"/>
      <c r="D29" s="37"/>
      <c r="E29" s="37"/>
      <c r="F29" s="37"/>
      <c r="G29" s="37"/>
      <c r="H29" s="37"/>
      <c r="I29" s="37"/>
      <c r="J29" s="37"/>
      <c r="K29" s="37"/>
      <c r="L29" s="58"/>
    </row>
    <row r="30" spans="2:12" ht="15" x14ac:dyDescent="0.3">
      <c r="B30" s="38"/>
      <c r="C30" s="156" t="s">
        <v>27</v>
      </c>
      <c r="D30" s="156"/>
      <c r="E30" s="156"/>
      <c r="F30" s="156"/>
      <c r="G30" s="40"/>
      <c r="H30" s="158" t="s">
        <v>28</v>
      </c>
      <c r="I30" s="159"/>
      <c r="J30" s="162" t="s">
        <v>29</v>
      </c>
      <c r="K30" s="164" t="s">
        <v>26</v>
      </c>
      <c r="L30" s="165"/>
    </row>
    <row r="31" spans="2:12" ht="15.5" thickBot="1" x14ac:dyDescent="0.35">
      <c r="B31" s="39"/>
      <c r="C31" s="157"/>
      <c r="D31" s="157"/>
      <c r="E31" s="157"/>
      <c r="F31" s="157"/>
      <c r="G31" s="41"/>
      <c r="H31" s="160"/>
      <c r="I31" s="161"/>
      <c r="J31" s="163"/>
      <c r="K31" s="166"/>
      <c r="L31" s="167"/>
    </row>
    <row r="32" spans="2:12" ht="14.5" thickBot="1" x14ac:dyDescent="0.35">
      <c r="B32" s="69"/>
      <c r="C32" s="71" t="s">
        <v>30</v>
      </c>
      <c r="D32" s="72"/>
      <c r="E32" s="72"/>
      <c r="F32" s="72"/>
      <c r="G32" s="73" t="s">
        <v>2</v>
      </c>
      <c r="H32" s="168">
        <f>SUM(E22:G24)</f>
        <v>0</v>
      </c>
      <c r="I32" s="169"/>
      <c r="J32" s="68">
        <f>SUM(E25:G26)</f>
        <v>0</v>
      </c>
      <c r="K32" s="69">
        <f>SUM(H32:J32)</f>
        <v>0</v>
      </c>
      <c r="L32" s="70"/>
    </row>
    <row r="33" spans="2:13" x14ac:dyDescent="0.3">
      <c r="B33" s="57"/>
      <c r="C33" s="106" t="s">
        <v>31</v>
      </c>
      <c r="D33" s="37"/>
      <c r="E33" s="37"/>
      <c r="F33" s="37"/>
      <c r="G33" s="50" t="s">
        <v>1</v>
      </c>
      <c r="H33" s="170">
        <f>SUM(J22:K24)</f>
        <v>0</v>
      </c>
      <c r="I33" s="171"/>
      <c r="J33" s="59">
        <f>SUM(J25:K26)</f>
        <v>0</v>
      </c>
      <c r="K33" s="64">
        <f>J33+H33</f>
        <v>0</v>
      </c>
      <c r="L33" s="58"/>
    </row>
    <row r="34" spans="2:13" x14ac:dyDescent="0.3">
      <c r="B34" s="55"/>
      <c r="C34" s="107" t="s">
        <v>32</v>
      </c>
      <c r="D34" s="53"/>
      <c r="E34" s="53"/>
      <c r="F34" s="53"/>
      <c r="G34" s="51" t="s">
        <v>1</v>
      </c>
      <c r="H34" s="172">
        <f>(H32*0.02)*-1</f>
        <v>0</v>
      </c>
      <c r="I34" s="173"/>
      <c r="J34" s="86">
        <f>(J32*0.02)*-1</f>
        <v>0</v>
      </c>
      <c r="K34" s="87">
        <f>H34+J34</f>
        <v>0</v>
      </c>
      <c r="L34" s="88"/>
    </row>
    <row r="35" spans="2:13" x14ac:dyDescent="0.3">
      <c r="B35" s="57"/>
      <c r="C35" s="108" t="s">
        <v>34</v>
      </c>
      <c r="D35" s="37"/>
      <c r="E35" s="37"/>
      <c r="F35" s="37"/>
      <c r="G35" s="52" t="s">
        <v>1</v>
      </c>
      <c r="H35" s="174">
        <f>(H33+H34)*IF(F4&lt;=200,C57,IF(F4&lt;=300,C58,IF(F4&lt;=600,C59,C60)))*-1</f>
        <v>0</v>
      </c>
      <c r="I35" s="175"/>
      <c r="J35" s="89">
        <f>(J33+J34)*IF(F4&lt;=200,C57,IF(F4&lt;=300,C58,IF(F4&lt;=600,C59,C60)))*-1</f>
        <v>0</v>
      </c>
      <c r="K35" s="90">
        <f>H35+J35</f>
        <v>0</v>
      </c>
      <c r="L35" s="91"/>
    </row>
    <row r="36" spans="2:13" x14ac:dyDescent="0.3">
      <c r="B36" s="55"/>
      <c r="C36" s="53"/>
      <c r="D36" s="53"/>
      <c r="E36" s="53"/>
      <c r="F36" s="53"/>
      <c r="G36" s="51"/>
      <c r="H36" s="176"/>
      <c r="I36" s="177"/>
      <c r="J36" s="60"/>
      <c r="K36" s="65"/>
      <c r="L36" s="66"/>
    </row>
    <row r="37" spans="2:13" x14ac:dyDescent="0.3">
      <c r="B37" s="57"/>
      <c r="C37" s="37"/>
      <c r="D37" s="37"/>
      <c r="E37" s="37"/>
      <c r="F37" s="37"/>
      <c r="G37" s="37"/>
      <c r="H37" s="104"/>
      <c r="I37" s="54"/>
      <c r="J37" s="59"/>
      <c r="K37" s="64"/>
      <c r="L37" s="67"/>
    </row>
    <row r="38" spans="2:13" x14ac:dyDescent="0.3">
      <c r="B38" s="55"/>
      <c r="C38" s="53"/>
      <c r="D38" s="53"/>
      <c r="E38" s="53"/>
      <c r="F38" s="53"/>
      <c r="G38" s="53"/>
      <c r="H38" s="55"/>
      <c r="I38" s="56"/>
      <c r="J38" s="61"/>
      <c r="K38" s="55"/>
      <c r="L38" s="56"/>
    </row>
    <row r="39" spans="2:13" x14ac:dyDescent="0.3">
      <c r="B39" s="57"/>
      <c r="C39" s="37"/>
      <c r="D39" s="37"/>
      <c r="E39" s="37"/>
      <c r="F39" s="37"/>
      <c r="G39" s="37"/>
      <c r="H39" s="57"/>
      <c r="I39" s="58"/>
      <c r="J39" s="62"/>
      <c r="K39" s="57"/>
      <c r="L39" s="58"/>
    </row>
    <row r="40" spans="2:13" ht="14.5" thickBot="1" x14ac:dyDescent="0.35">
      <c r="B40" s="55"/>
      <c r="C40" s="53"/>
      <c r="D40" s="53"/>
      <c r="E40" s="53"/>
      <c r="F40" s="53"/>
      <c r="G40" s="53"/>
      <c r="H40" s="46"/>
      <c r="I40" s="49"/>
      <c r="J40" s="63"/>
      <c r="K40" s="46"/>
      <c r="L40" s="49"/>
      <c r="M40" s="4"/>
    </row>
    <row r="41" spans="2:13" x14ac:dyDescent="0.3">
      <c r="B41" s="57"/>
      <c r="C41" s="106" t="s">
        <v>33</v>
      </c>
      <c r="D41" s="37"/>
      <c r="E41" s="37"/>
      <c r="F41" s="37"/>
      <c r="G41" s="50" t="s">
        <v>1</v>
      </c>
      <c r="H41" s="178">
        <f>SUM(H33:I35)</f>
        <v>0</v>
      </c>
      <c r="I41" s="179"/>
      <c r="J41" s="85">
        <f>SUM(J33:J35)</f>
        <v>0</v>
      </c>
      <c r="K41" s="82">
        <f>SUM(K33:K35)</f>
        <v>0</v>
      </c>
      <c r="L41" s="76"/>
    </row>
    <row r="42" spans="2:13" x14ac:dyDescent="0.3">
      <c r="B42" s="55"/>
      <c r="C42" s="53" t="s">
        <v>3</v>
      </c>
      <c r="D42" s="53"/>
      <c r="E42" s="53"/>
      <c r="F42" s="53"/>
      <c r="G42" s="80" t="s">
        <v>1</v>
      </c>
      <c r="H42" s="65"/>
      <c r="I42" s="83"/>
      <c r="J42" s="83"/>
      <c r="K42" s="83">
        <f>(J41*6)/100</f>
        <v>0</v>
      </c>
      <c r="L42" s="56"/>
    </row>
    <row r="43" spans="2:13" x14ac:dyDescent="0.3">
      <c r="B43" s="57"/>
      <c r="C43" s="37" t="s">
        <v>5</v>
      </c>
      <c r="D43" s="37"/>
      <c r="E43" s="37"/>
      <c r="F43" s="37"/>
      <c r="G43" s="81" t="s">
        <v>1</v>
      </c>
      <c r="H43" s="64"/>
      <c r="I43" s="84"/>
      <c r="J43" s="84"/>
      <c r="K43" s="84">
        <f>(K33+K35)*1.6/100</f>
        <v>0</v>
      </c>
      <c r="L43" s="58"/>
      <c r="M43" s="5"/>
    </row>
    <row r="44" spans="2:13" x14ac:dyDescent="0.3">
      <c r="B44" s="55"/>
      <c r="C44" s="107" t="s">
        <v>4</v>
      </c>
      <c r="D44" s="53"/>
      <c r="E44" s="53"/>
      <c r="F44" s="53"/>
      <c r="G44" s="51" t="s">
        <v>1</v>
      </c>
      <c r="H44" s="65"/>
      <c r="I44" s="83"/>
      <c r="J44" s="83"/>
      <c r="K44" s="83"/>
      <c r="L44" s="56"/>
    </row>
    <row r="45" spans="2:13" x14ac:dyDescent="0.3">
      <c r="B45" s="57"/>
      <c r="C45" s="108"/>
      <c r="D45" s="37"/>
      <c r="E45" s="37"/>
      <c r="F45" s="37"/>
      <c r="G45" s="52"/>
      <c r="H45" s="64"/>
      <c r="I45" s="84"/>
      <c r="J45" s="84"/>
      <c r="K45" s="84"/>
      <c r="L45" s="58"/>
    </row>
    <row r="46" spans="2:13" x14ac:dyDescent="0.3">
      <c r="B46" s="55"/>
      <c r="C46" s="107"/>
      <c r="D46" s="53"/>
      <c r="E46" s="53"/>
      <c r="F46" s="53"/>
      <c r="G46" s="51"/>
      <c r="H46" s="65"/>
      <c r="I46" s="83"/>
      <c r="J46" s="83"/>
      <c r="K46" s="83"/>
      <c r="L46" s="56"/>
    </row>
    <row r="47" spans="2:13" ht="16" thickBot="1" x14ac:dyDescent="0.4">
      <c r="B47" s="57"/>
      <c r="C47" s="106" t="s">
        <v>10</v>
      </c>
      <c r="D47" s="37"/>
      <c r="E47" s="37"/>
      <c r="F47" s="37"/>
      <c r="G47" s="50" t="s">
        <v>1</v>
      </c>
      <c r="H47" s="57"/>
      <c r="I47" s="37"/>
      <c r="J47" s="37"/>
      <c r="K47" s="98">
        <f>SUM(K41:K43)</f>
        <v>0</v>
      </c>
      <c r="L47" s="58"/>
    </row>
    <row r="48" spans="2:13" ht="15" thickTop="1" thickBot="1" x14ac:dyDescent="0.35">
      <c r="B48" s="55"/>
      <c r="C48" s="53"/>
      <c r="D48" s="53"/>
      <c r="E48" s="53"/>
      <c r="F48" s="53"/>
      <c r="G48" s="53"/>
      <c r="H48" s="46"/>
      <c r="I48" s="48"/>
      <c r="J48" s="48"/>
      <c r="K48" s="48"/>
      <c r="L48" s="49"/>
    </row>
    <row r="49" spans="2:12" x14ac:dyDescent="0.3">
      <c r="B49" s="74"/>
      <c r="C49" s="75" t="s">
        <v>19</v>
      </c>
      <c r="D49" s="75"/>
      <c r="E49" s="75"/>
      <c r="F49" s="75"/>
      <c r="G49" s="75"/>
      <c r="H49" s="75"/>
      <c r="I49" s="75"/>
      <c r="J49" s="75"/>
      <c r="K49" s="75"/>
      <c r="L49" s="76"/>
    </row>
    <row r="50" spans="2:12" x14ac:dyDescent="0.3">
      <c r="B50" s="55"/>
      <c r="C50" s="53" t="s">
        <v>20</v>
      </c>
      <c r="D50" s="53"/>
      <c r="E50" s="53"/>
      <c r="F50" s="53"/>
      <c r="G50" s="53"/>
      <c r="H50" s="53"/>
      <c r="I50" s="53"/>
      <c r="J50" s="53"/>
      <c r="K50" s="53"/>
      <c r="L50" s="56"/>
    </row>
    <row r="51" spans="2:12" ht="14.5" thickBot="1" x14ac:dyDescent="0.35">
      <c r="B51" s="77"/>
      <c r="C51" s="78"/>
      <c r="D51" s="78"/>
      <c r="E51" s="78"/>
      <c r="F51" s="78"/>
      <c r="G51" s="78"/>
      <c r="H51" s="78"/>
      <c r="I51" s="78"/>
      <c r="J51" s="78"/>
      <c r="K51" s="78"/>
      <c r="L51" s="79"/>
    </row>
    <row r="52" spans="2:12" x14ac:dyDescent="0.3">
      <c r="B52" s="24"/>
      <c r="C52" s="180"/>
      <c r="D52" s="180"/>
      <c r="E52" s="25"/>
      <c r="F52" s="25"/>
      <c r="G52" s="25"/>
      <c r="H52" s="25"/>
      <c r="I52" s="25"/>
      <c r="J52" s="25"/>
      <c r="K52" s="25"/>
      <c r="L52" s="26"/>
    </row>
    <row r="53" spans="2:12" x14ac:dyDescent="0.3">
      <c r="B53" s="153" t="s">
        <v>6</v>
      </c>
      <c r="C53" s="154"/>
      <c r="D53" s="154"/>
      <c r="E53" s="154"/>
      <c r="F53" s="154"/>
      <c r="G53" s="154"/>
      <c r="H53" s="154"/>
      <c r="I53" s="154"/>
      <c r="J53" s="154"/>
      <c r="K53" s="154"/>
      <c r="L53" s="155"/>
    </row>
    <row r="54" spans="2:12" x14ac:dyDescent="0.3">
      <c r="B54" s="27"/>
      <c r="C54" s="28" t="s">
        <v>18</v>
      </c>
      <c r="D54" s="28"/>
      <c r="E54" s="28"/>
      <c r="F54" s="28"/>
      <c r="G54" s="28"/>
      <c r="H54" s="28"/>
      <c r="I54" s="28"/>
      <c r="J54" s="28"/>
      <c r="K54" s="28"/>
      <c r="L54" s="29"/>
    </row>
    <row r="55" spans="2:12" x14ac:dyDescent="0.3">
      <c r="B55" s="30"/>
      <c r="C55" s="31" t="s">
        <v>17</v>
      </c>
      <c r="D55" s="28"/>
      <c r="E55" s="28"/>
      <c r="F55" s="28"/>
      <c r="G55" s="28"/>
      <c r="H55" s="28"/>
      <c r="I55" s="28"/>
      <c r="J55" s="28"/>
      <c r="K55" s="28"/>
      <c r="L55" s="29"/>
    </row>
    <row r="56" spans="2:12" x14ac:dyDescent="0.3">
      <c r="B56" s="30"/>
      <c r="C56" s="28" t="s">
        <v>16</v>
      </c>
      <c r="D56" s="28"/>
      <c r="E56" s="28"/>
      <c r="F56" s="28"/>
      <c r="G56" s="28"/>
      <c r="H56" s="28"/>
      <c r="I56" s="28"/>
      <c r="J56" s="28"/>
      <c r="K56" s="28"/>
      <c r="L56" s="29"/>
    </row>
    <row r="57" spans="2:12" x14ac:dyDescent="0.3">
      <c r="B57" s="30"/>
      <c r="C57" s="32">
        <v>0.4</v>
      </c>
      <c r="D57" s="28" t="s">
        <v>15</v>
      </c>
      <c r="E57" s="28"/>
      <c r="F57" s="28"/>
      <c r="G57" s="28"/>
      <c r="H57" s="28"/>
      <c r="I57" s="28"/>
      <c r="J57" s="28"/>
      <c r="K57" s="28"/>
      <c r="L57" s="29"/>
    </row>
    <row r="58" spans="2:12" x14ac:dyDescent="0.3">
      <c r="B58" s="30"/>
      <c r="C58" s="32">
        <v>0.15</v>
      </c>
      <c r="D58" s="28" t="s">
        <v>12</v>
      </c>
      <c r="E58" s="28"/>
      <c r="F58" s="28"/>
      <c r="G58" s="28"/>
      <c r="H58" s="28"/>
      <c r="I58" s="28"/>
      <c r="J58" s="28"/>
      <c r="K58" s="28"/>
      <c r="L58" s="29"/>
    </row>
    <row r="59" spans="2:12" x14ac:dyDescent="0.3">
      <c r="B59" s="30"/>
      <c r="C59" s="32">
        <v>0.1</v>
      </c>
      <c r="D59" s="28" t="s">
        <v>13</v>
      </c>
      <c r="E59" s="28"/>
      <c r="F59" s="28"/>
      <c r="G59" s="28"/>
      <c r="H59" s="28"/>
      <c r="I59" s="28"/>
      <c r="J59" s="28"/>
      <c r="K59" s="28"/>
      <c r="L59" s="29"/>
    </row>
    <row r="60" spans="2:12" x14ac:dyDescent="0.3">
      <c r="B60" s="30"/>
      <c r="C60" s="32">
        <v>0.05</v>
      </c>
      <c r="D60" s="28" t="s">
        <v>14</v>
      </c>
      <c r="E60" s="28"/>
      <c r="F60" s="28"/>
      <c r="G60" s="28"/>
      <c r="H60" s="28"/>
      <c r="I60" s="28"/>
      <c r="J60" s="28"/>
      <c r="K60" s="28"/>
      <c r="L60" s="29"/>
    </row>
    <row r="61" spans="2:12" x14ac:dyDescent="0.3">
      <c r="B61" s="30"/>
      <c r="C61" s="28" t="s">
        <v>9</v>
      </c>
      <c r="D61" s="28"/>
      <c r="E61" s="28"/>
      <c r="F61" s="28"/>
      <c r="G61" s="28"/>
      <c r="H61" s="28"/>
      <c r="I61" s="28"/>
      <c r="J61" s="28"/>
      <c r="K61" s="28"/>
      <c r="L61" s="29"/>
    </row>
    <row r="62" spans="2:12" x14ac:dyDescent="0.3">
      <c r="B62" s="30"/>
      <c r="C62" s="28" t="s">
        <v>7</v>
      </c>
      <c r="D62" s="28"/>
      <c r="E62" s="28"/>
      <c r="F62" s="28"/>
      <c r="G62" s="28"/>
      <c r="H62" s="28"/>
      <c r="I62" s="28"/>
      <c r="J62" s="28"/>
      <c r="K62" s="28"/>
      <c r="L62" s="29"/>
    </row>
    <row r="63" spans="2:12" x14ac:dyDescent="0.3">
      <c r="B63" s="30"/>
      <c r="C63" s="28" t="s">
        <v>8</v>
      </c>
      <c r="D63" s="28"/>
      <c r="E63" s="28"/>
      <c r="F63" s="28"/>
      <c r="G63" s="28"/>
      <c r="H63" s="28"/>
      <c r="I63" s="28"/>
      <c r="J63" s="28"/>
      <c r="K63" s="28"/>
      <c r="L63" s="29"/>
    </row>
    <row r="64" spans="2:12" ht="15" customHeight="1" thickBot="1" x14ac:dyDescent="0.35">
      <c r="B64" s="33"/>
      <c r="C64" s="34"/>
      <c r="D64" s="35"/>
      <c r="E64" s="35"/>
      <c r="F64" s="35"/>
      <c r="G64" s="35"/>
      <c r="H64" s="35"/>
      <c r="I64" s="35"/>
      <c r="J64" s="35"/>
      <c r="K64" s="35"/>
      <c r="L64" s="36"/>
    </row>
    <row r="65" spans="2:12" ht="18.75" customHeight="1" x14ac:dyDescent="0.3">
      <c r="B65" s="22"/>
      <c r="D65" s="22"/>
      <c r="E65" s="22"/>
      <c r="F65" s="22"/>
      <c r="G65" s="22"/>
      <c r="H65" s="22"/>
      <c r="I65" s="22"/>
      <c r="J65" s="22"/>
      <c r="K65" s="22"/>
      <c r="L65" s="22"/>
    </row>
    <row r="66" spans="2:12" ht="14" customHeight="1" x14ac:dyDescent="0.3"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</row>
    <row r="67" spans="2:12" ht="14" customHeight="1" x14ac:dyDescent="0.3"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</row>
    <row r="68" spans="2:12" ht="14" customHeight="1" x14ac:dyDescent="0.3"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</row>
    <row r="69" spans="2:12" ht="14" customHeight="1" x14ac:dyDescent="0.3"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</row>
    <row r="70" spans="2:12" ht="14" customHeight="1" x14ac:dyDescent="0.3"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</row>
    <row r="71" spans="2:12" ht="14" customHeight="1" x14ac:dyDescent="0.3"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</row>
    <row r="72" spans="2:12" ht="14" customHeight="1" x14ac:dyDescent="0.3"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</row>
    <row r="73" spans="2:12" ht="14" customHeight="1" x14ac:dyDescent="0.3"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</row>
    <row r="74" spans="2:12" ht="14" customHeight="1" x14ac:dyDescent="0.3"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</row>
    <row r="75" spans="2:12" ht="14" customHeight="1" x14ac:dyDescent="0.3"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</row>
    <row r="76" spans="2:12" ht="14" customHeight="1" x14ac:dyDescent="0.3"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</row>
    <row r="77" spans="2:12" ht="14" customHeight="1" x14ac:dyDescent="0.3"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</row>
    <row r="78" spans="2:12" ht="14" customHeight="1" x14ac:dyDescent="0.3"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</row>
    <row r="79" spans="2:12" ht="14" customHeight="1" x14ac:dyDescent="0.3"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</row>
  </sheetData>
  <mergeCells count="52">
    <mergeCell ref="B53:L53"/>
    <mergeCell ref="C30:F31"/>
    <mergeCell ref="H30:I31"/>
    <mergeCell ref="J30:J31"/>
    <mergeCell ref="K30:L31"/>
    <mergeCell ref="H32:I32"/>
    <mergeCell ref="H33:I33"/>
    <mergeCell ref="H34:I34"/>
    <mergeCell ref="H35:I35"/>
    <mergeCell ref="H36:I36"/>
    <mergeCell ref="H41:I41"/>
    <mergeCell ref="C52:D52"/>
    <mergeCell ref="E26:G26"/>
    <mergeCell ref="H26:I26"/>
    <mergeCell ref="J26:K26"/>
    <mergeCell ref="E27:G27"/>
    <mergeCell ref="C28:D28"/>
    <mergeCell ref="E28:G28"/>
    <mergeCell ref="J28:K28"/>
    <mergeCell ref="C24:D24"/>
    <mergeCell ref="E24:G24"/>
    <mergeCell ref="H24:I24"/>
    <mergeCell ref="J24:K24"/>
    <mergeCell ref="C25:D25"/>
    <mergeCell ref="E25:G25"/>
    <mergeCell ref="H25:I25"/>
    <mergeCell ref="J25:K25"/>
    <mergeCell ref="C22:D22"/>
    <mergeCell ref="E22:G22"/>
    <mergeCell ref="H22:I22"/>
    <mergeCell ref="J22:K22"/>
    <mergeCell ref="C23:D23"/>
    <mergeCell ref="E23:G23"/>
    <mergeCell ref="H23:I23"/>
    <mergeCell ref="J23:K23"/>
    <mergeCell ref="B17:L18"/>
    <mergeCell ref="I19:L19"/>
    <mergeCell ref="I20:L20"/>
    <mergeCell ref="C21:D21"/>
    <mergeCell ref="E21:G21"/>
    <mergeCell ref="H21:I21"/>
    <mergeCell ref="J21:K21"/>
    <mergeCell ref="F4:I4"/>
    <mergeCell ref="G7:K10"/>
    <mergeCell ref="C8:D9"/>
    <mergeCell ref="E9:E10"/>
    <mergeCell ref="F9:F10"/>
    <mergeCell ref="H11:H12"/>
    <mergeCell ref="I11:J12"/>
    <mergeCell ref="C12:D13"/>
    <mergeCell ref="E13:E14"/>
    <mergeCell ref="F13:F14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9</xdr:col>
                    <xdr:colOff>228600</xdr:colOff>
                    <xdr:row>2</xdr:row>
                    <xdr:rowOff>152400</xdr:rowOff>
                  </from>
                  <to>
                    <xdr:col>10</xdr:col>
                    <xdr:colOff>412750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Blank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Fong Wei Chen</dc:creator>
  <cp:lastModifiedBy>Fong Wei Chen</cp:lastModifiedBy>
  <cp:lastPrinted>2021-09-04T13:16:24Z</cp:lastPrinted>
  <dcterms:created xsi:type="dcterms:W3CDTF">2021-08-20T09:19:50Z</dcterms:created>
  <dcterms:modified xsi:type="dcterms:W3CDTF">2021-09-05T04:14:10Z</dcterms:modified>
</cp:coreProperties>
</file>